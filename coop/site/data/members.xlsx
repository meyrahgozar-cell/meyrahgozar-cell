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عضا" sheetId="1" state="visible" r:id="rId3"/>
    <sheet name="واریزی‌ها" sheetId="2" state="visible" r:id="rId4"/>
    <sheet name="تعهدات" sheetId="3" state="visible" r:id="rId5"/>
    <sheet name="راهنم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<sst xmlns="http://schemas.openxmlformats.org/spreadsheetml/2006/main" count="68" uniqueCount="54">
  <si>
    <t xml:space="preserve">نام</t>
  </si>
  <si>
    <t xml:space="preserve">نام خانوادگی</t>
  </si>
  <si>
    <t xml:space="preserve">کد ملی</t>
  </si>
  <si>
    <t xml:space="preserve">موبایل</t>
  </si>
  <si>
    <t xml:space="preserve">ایمیل فردی</t>
  </si>
  <si>
    <t xml:space="preserve">رمز اولیه</t>
  </si>
  <si>
    <t xml:space="preserve">شرکت مادر</t>
  </si>
  <si>
    <t xml:space="preserve">وضعیت عضویت</t>
  </si>
  <si>
    <t xml:space="preserve">تعاونی</t>
  </si>
  <si>
    <t xml:space="preserve">جمع پرداختی‌ها</t>
  </si>
  <si>
    <t xml:space="preserve">میزان بدهی</t>
  </si>
  <si>
    <t xml:space="preserve">امتیاز</t>
  </si>
  <si>
    <t xml:space="preserve">رمز جدید (خودکار)</t>
  </si>
  <si>
    <t xml:space="preserve">علی</t>
  </si>
  <si>
    <t xml:space="preserve">احمدی</t>
  </si>
  <si>
    <t xml:space="preserve">0012345678</t>
  </si>
  <si>
    <t xml:space="preserve">09121234567</t>
  </si>
  <si>
    <t xml:space="preserve">مپنا</t>
  </si>
  <si>
    <t xml:space="preserve">فعال</t>
  </si>
  <si>
    <t xml:space="preserve">زهرا</t>
  </si>
  <si>
    <t xml:space="preserve">کریمی</t>
  </si>
  <si>
    <t xml:space="preserve">0023456789</t>
  </si>
  <si>
    <t xml:space="preserve">09351112233</t>
  </si>
  <si>
    <t xml:space="preserve">مپنا ایرکی</t>
  </si>
  <si>
    <t xml:space="preserve">رضا</t>
  </si>
  <si>
    <t xml:space="preserve">موسوی</t>
  </si>
  <si>
    <t xml:space="preserve">0034567890</t>
  </si>
  <si>
    <t xml:space="preserve">09124445566</t>
  </si>
  <si>
    <t xml:space="preserve">مپنا بویلر</t>
  </si>
  <si>
    <t xml:space="preserve">مریم</t>
  </si>
  <si>
    <t xml:space="preserve">حسینی</t>
  </si>
  <si>
    <t xml:space="preserve">0045678901</t>
  </si>
  <si>
    <t xml:space="preserve">09197778899</t>
  </si>
  <si>
    <t xml:space="preserve">مپنا توربین</t>
  </si>
  <si>
    <t xml:space="preserve">انصرافی اولیه</t>
  </si>
  <si>
    <t xml:space="preserve">حسن</t>
  </si>
  <si>
    <t xml:space="preserve">رحیمی</t>
  </si>
  <si>
    <t xml:space="preserve">0056789012</t>
  </si>
  <si>
    <t xml:space="preserve">09101230000</t>
  </si>
  <si>
    <t xml:space="preserve">انصرافی آتی</t>
  </si>
  <si>
    <t xml:space="preserve">مبلغ (ریال)</t>
  </si>
  <si>
    <t xml:space="preserve">تاریخ واریز (شمسی یا میلادی)</t>
  </si>
  <si>
    <t xml:space="preserve">1404/03/15</t>
  </si>
  <si>
    <t xml:space="preserve">1404/09/20</t>
  </si>
  <si>
    <t xml:space="preserve">2025-06-10</t>
  </si>
  <si>
    <t xml:space="preserve">1405/01/10</t>
  </si>
  <si>
    <t xml:space="preserve">تاریخ سررسید (شمسی یا میلادی)</t>
  </si>
  <si>
    <t xml:space="preserve">1405/06/30</t>
  </si>
  <si>
    <t xml:space="preserve">1405/12/29</t>
  </si>
  <si>
    <t xml:space="preserve">1405/08/15</t>
  </si>
  <si>
    <t xml:space="preserve">1405/10/01</t>
  </si>
  <si>
    <r>
      <rPr>
        <sz val="11"/>
        <color theme="1"/>
        <rFont val="FreeSans"/>
        <family val="2"/>
      </rPr>
      <t xml:space="preserve">ستون‌های کد ملی، موبایل و رمز اولیه باید فرمت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متن</t>
    </r>
    <r>
      <rPr>
        <sz val="11"/>
        <color theme="1"/>
        <rFont val="Calibri"/>
        <family val="2"/>
        <charset val="1"/>
      </rPr>
      <t xml:space="preserve">» </t>
    </r>
    <r>
      <rPr>
        <sz val="11"/>
        <color theme="1"/>
        <rFont val="FreeSans"/>
        <family val="2"/>
      </rPr>
      <t xml:space="preserve">داشته باشند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ردیف‌های نمونه را با داده واقعی جایگزین کنید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</si>
  <si>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رمز اولیه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۵ رقم آخر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موبایل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FreeSans"/>
        <family val="2"/>
      </rPr>
      <t xml:space="preserve">۲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FreeSans"/>
        <family val="2"/>
      </rPr>
      <t xml:space="preserve">فرمول خودکار؛ جمع پرداختی و بدهی از شیت‌های دیگر با کد ملی محاسبه می‌شود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</si>
  <si>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ایمیل و رمز جدید پس از ثبت‌نام کاربر توسط سایت پر می‌شود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فقط ستون‌های ورودی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آبی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را ویرایش کنید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</si>
</sst>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FreeSan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3" t="s">
        <v>16</v>
      </c>
      <c r="E2" s="2"/>
      <c r="F2" s="4" t="str">
        <f aca="false">RIGHT(D2*2,5)</f>
        <v>69134</v>
      </c>
      <c r="G2" s="2" t="s">
        <v>17</v>
      </c>
      <c r="H2" s="2" t="s">
        <v>18</v>
      </c>
      <c r="I2" s="2" t="n">
        <v>1</v>
      </c>
      <c r="J2" s="4" t="n">
        <f aca="false">SUMIFS('واریزی‌ها'!$B:$B,'واریزی‌ها'!$A:$A,C2)</f>
        <v>800000000</v>
      </c>
      <c r="K2" s="4" t="n">
        <f aca="false">SUMIFS(تعهدات!$B:$B,تعهدات!$A:$A,C2)</f>
        <v>650000000</v>
      </c>
      <c r="L2" s="2" t="n">
        <v>95</v>
      </c>
      <c r="M2" s="2"/>
    </row>
    <row r="3" customFormat="false" ht="15" hidden="false" customHeight="false" outlineLevel="0" collapsed="false">
      <c r="A3" s="2" t="s">
        <v>19</v>
      </c>
      <c r="B3" s="2" t="s">
        <v>20</v>
      </c>
      <c r="C3" s="3" t="s">
        <v>21</v>
      </c>
      <c r="D3" s="3" t="s">
        <v>22</v>
      </c>
      <c r="E3" s="2"/>
      <c r="F3" s="4" t="str">
        <f aca="false">RIGHT(D3*2,5)</f>
        <v>24466</v>
      </c>
      <c r="G3" s="2" t="s">
        <v>23</v>
      </c>
      <c r="H3" s="2" t="s">
        <v>18</v>
      </c>
      <c r="I3" s="2" t="n">
        <v>1</v>
      </c>
      <c r="J3" s="4" t="n">
        <f aca="false">SUMIFS('واریزی‌ها'!$B:$B,'واریزی‌ها'!$A:$A,C3)</f>
        <v>450000000</v>
      </c>
      <c r="K3" s="4" t="n">
        <f aca="false">SUMIFS(تعهدات!$B:$B,تعهدات!$A:$A,C3)</f>
        <v>300000000</v>
      </c>
      <c r="L3" s="2" t="n">
        <v>88</v>
      </c>
      <c r="M3" s="2"/>
    </row>
    <row r="4" customFormat="false" ht="15" hidden="false" customHeight="false" outlineLevel="0" collapsed="false">
      <c r="A4" s="2" t="s">
        <v>24</v>
      </c>
      <c r="B4" s="2" t="s">
        <v>25</v>
      </c>
      <c r="C4" s="3" t="s">
        <v>26</v>
      </c>
      <c r="D4" s="3" t="s">
        <v>27</v>
      </c>
      <c r="E4" s="2"/>
      <c r="F4" s="4" t="str">
        <f aca="false">RIGHT(D4*2,5)</f>
        <v>91132</v>
      </c>
      <c r="G4" s="2" t="s">
        <v>28</v>
      </c>
      <c r="H4" s="2" t="s">
        <v>18</v>
      </c>
      <c r="I4" s="2" t="n">
        <v>2</v>
      </c>
      <c r="J4" s="4" t="n">
        <f aca="false">SUMIFS('واریزی‌ها'!$B:$B,'واریزی‌ها'!$A:$A,C4)</f>
        <v>200000000</v>
      </c>
      <c r="K4" s="4" t="n">
        <f aca="false">SUMIFS(تعهدات!$B:$B,تعهدات!$A:$A,C4)</f>
        <v>500000000</v>
      </c>
      <c r="L4" s="2" t="n">
        <v>76</v>
      </c>
      <c r="M4" s="2"/>
    </row>
    <row r="5" customFormat="false" ht="15" hidden="false" customHeight="false" outlineLevel="0" collapsed="false">
      <c r="A5" s="2" t="s">
        <v>29</v>
      </c>
      <c r="B5" s="2" t="s">
        <v>30</v>
      </c>
      <c r="C5" s="3" t="s">
        <v>31</v>
      </c>
      <c r="D5" s="3" t="s">
        <v>32</v>
      </c>
      <c r="E5" s="2"/>
      <c r="F5" s="4" t="str">
        <f aca="false">RIGHT(D5*2,5)</f>
        <v>57798</v>
      </c>
      <c r="G5" s="2" t="s">
        <v>33</v>
      </c>
      <c r="H5" s="2" t="s">
        <v>34</v>
      </c>
      <c r="I5" s="2" t="n">
        <v>2</v>
      </c>
      <c r="J5" s="4" t="n">
        <f aca="false">SUMIFS('واریزی‌ها'!$B:$B,'واریزی‌ها'!$A:$A,C5)</f>
        <v>0</v>
      </c>
      <c r="K5" s="4" t="n">
        <f aca="false">SUMIFS(تعهدات!$B:$B,تعهدات!$A:$A,C5)</f>
        <v>0</v>
      </c>
      <c r="L5" s="2" t="n">
        <v>40</v>
      </c>
      <c r="M5" s="2"/>
    </row>
    <row r="6" customFormat="false" ht="15" hidden="false" customHeight="false" outlineLevel="0" collapsed="false">
      <c r="A6" s="2" t="s">
        <v>35</v>
      </c>
      <c r="B6" s="2" t="s">
        <v>36</v>
      </c>
      <c r="C6" s="3" t="s">
        <v>37</v>
      </c>
      <c r="D6" s="3" t="s">
        <v>38</v>
      </c>
      <c r="E6" s="2"/>
      <c r="F6" s="4" t="str">
        <f aca="false">RIGHT(D6*2,5)</f>
        <v>60000</v>
      </c>
      <c r="G6" s="2" t="s">
        <v>17</v>
      </c>
      <c r="H6" s="2" t="s">
        <v>39</v>
      </c>
      <c r="I6" s="2" t="n">
        <v>1</v>
      </c>
      <c r="J6" s="4" t="n">
        <f aca="false">SUMIFS('واریزی‌ها'!$B:$B,'واریزی‌ها'!$A:$A,C6)</f>
        <v>0</v>
      </c>
      <c r="K6" s="4" t="n">
        <f aca="false">SUMIFS(تعهدات!$B:$B,تعهدات!$A:$A,C6)</f>
        <v>0</v>
      </c>
      <c r="L6" s="2" t="n">
        <v>55</v>
      </c>
      <c r="M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" t="s">
        <v>2</v>
      </c>
      <c r="B1" s="1" t="s">
        <v>40</v>
      </c>
      <c r="C1" s="1" t="s">
        <v>41</v>
      </c>
    </row>
    <row r="2" customFormat="false" ht="15" hidden="false" customHeight="false" outlineLevel="0" collapsed="false">
      <c r="A2" s="2" t="s">
        <v>15</v>
      </c>
      <c r="B2" s="2" t="n">
        <v>500000000</v>
      </c>
      <c r="C2" s="2" t="s">
        <v>42</v>
      </c>
    </row>
    <row r="3" customFormat="false" ht="15" hidden="false" customHeight="false" outlineLevel="0" collapsed="false">
      <c r="A3" s="2" t="s">
        <v>15</v>
      </c>
      <c r="B3" s="2" t="n">
        <v>300000000</v>
      </c>
      <c r="C3" s="2" t="s">
        <v>43</v>
      </c>
    </row>
    <row r="4" customFormat="false" ht="15" hidden="false" customHeight="false" outlineLevel="0" collapsed="false">
      <c r="A4" s="2" t="s">
        <v>21</v>
      </c>
      <c r="B4" s="2" t="n">
        <v>450000000</v>
      </c>
      <c r="C4" s="2" t="s">
        <v>44</v>
      </c>
    </row>
    <row r="5" customFormat="false" ht="15" hidden="false" customHeight="false" outlineLevel="0" collapsed="false">
      <c r="A5" s="2" t="s">
        <v>26</v>
      </c>
      <c r="B5" s="2" t="n">
        <v>200000000</v>
      </c>
      <c r="C5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1" t="s">
        <v>2</v>
      </c>
      <c r="B1" s="1" t="s">
        <v>40</v>
      </c>
      <c r="C1" s="1" t="s">
        <v>46</v>
      </c>
    </row>
    <row r="2" customFormat="false" ht="15" hidden="false" customHeight="false" outlineLevel="0" collapsed="false">
      <c r="A2" s="2" t="s">
        <v>15</v>
      </c>
      <c r="B2" s="2" t="n">
        <v>400000000</v>
      </c>
      <c r="C2" s="2" t="s">
        <v>47</v>
      </c>
    </row>
    <row r="3" customFormat="false" ht="15" hidden="false" customHeight="false" outlineLevel="0" collapsed="false">
      <c r="A3" s="2" t="s">
        <v>15</v>
      </c>
      <c r="B3" s="2" t="n">
        <v>250000000</v>
      </c>
      <c r="C3" s="2" t="s">
        <v>48</v>
      </c>
    </row>
    <row r="4" customFormat="false" ht="15" hidden="false" customHeight="false" outlineLevel="0" collapsed="false">
      <c r="A4" s="2" t="s">
        <v>21</v>
      </c>
      <c r="B4" s="2" t="n">
        <v>300000000</v>
      </c>
      <c r="C4" s="2" t="s">
        <v>49</v>
      </c>
    </row>
    <row r="5" customFormat="false" ht="15" hidden="false" customHeight="false" outlineLevel="0" collapsed="false">
      <c r="A5" s="2" t="s">
        <v>26</v>
      </c>
      <c r="B5" s="2" t="n">
        <v>500000000</v>
      </c>
      <c r="C5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4.9" hidden="false" customHeight="false" outlineLevel="0" collapsed="false">
      <c r="A1" s="5" t="s">
        <v>51</v>
      </c>
    </row>
    <row r="2" customFormat="false" ht="14.9" hidden="false" customHeight="false" outlineLevel="0" collapsed="false">
      <c r="A2" s="5" t="s">
        <v>52</v>
      </c>
    </row>
    <row r="3" customFormat="false" ht="14.9" hidden="false" customHeight="false" outlineLevel="0" collapsed="false">
      <c r="A3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2026-10-06T17:19:15Z</dcterms:created>
  <dc:creator>openpyxl</dc:creator>
  <dc:description/>
  <dc:language>en-US</dc:language>
  <cp:lastModifiedBy/>
  <dcterms:modified xsi:type="dcterms:W3CDTF">2026-10-06T17:19:15Z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